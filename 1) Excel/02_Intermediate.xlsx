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sha\OneDrive\Desktop\"/>
    </mc:Choice>
  </mc:AlternateContent>
  <xr:revisionPtr revIDLastSave="0" documentId="13_ncr:1_{8939794F-0485-4F8B-AD31-D42FFFB6D9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 Name" sheetId="2" r:id="rId1"/>
    <sheet name="City" sheetId="3" r:id="rId2"/>
    <sheet name="Remove Duplicate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F26" i="2"/>
  <c r="F27" i="2"/>
  <c r="F28" i="2"/>
  <c r="F29" i="2"/>
  <c r="F24" i="2"/>
  <c r="E25" i="2"/>
  <c r="E26" i="2"/>
  <c r="E27" i="2"/>
  <c r="E28" i="2"/>
  <c r="E29" i="2"/>
  <c r="E24" i="2"/>
  <c r="D25" i="2"/>
  <c r="D26" i="2"/>
  <c r="D27" i="2"/>
  <c r="D28" i="2"/>
  <c r="D29" i="2"/>
  <c r="D24" i="2"/>
  <c r="N20" i="2"/>
  <c r="M20" i="2"/>
  <c r="H20" i="2"/>
  <c r="J20" i="2"/>
  <c r="K20" i="2" s="1"/>
  <c r="L20" i="2" s="1"/>
  <c r="J5" i="2"/>
  <c r="K5" i="2" s="1"/>
  <c r="L5" i="2" s="1"/>
  <c r="J6" i="2"/>
  <c r="K6" i="2" s="1"/>
  <c r="L6" i="2" s="1"/>
  <c r="J7" i="2"/>
  <c r="K7" i="2" s="1"/>
  <c r="L7" i="2" s="1"/>
  <c r="J8" i="2"/>
  <c r="K8" i="2" s="1"/>
  <c r="L8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18" i="2"/>
  <c r="K18" i="2" s="1"/>
  <c r="L18" i="2" s="1"/>
  <c r="J19" i="2"/>
  <c r="K19" i="2" s="1"/>
  <c r="L19" i="2" s="1"/>
  <c r="J21" i="2"/>
  <c r="K21" i="2" s="1"/>
  <c r="L21" i="2" s="1"/>
  <c r="J4" i="2"/>
  <c r="K4" i="2" s="1"/>
  <c r="L4" i="2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1" i="2"/>
  <c r="H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1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1" i="2"/>
  <c r="M4" i="2"/>
</calcChain>
</file>

<file path=xl/sharedStrings.xml><?xml version="1.0" encoding="utf-8"?>
<sst xmlns="http://schemas.openxmlformats.org/spreadsheetml/2006/main" count="227" uniqueCount="60">
  <si>
    <t>Student Name</t>
  </si>
  <si>
    <t>Grade</t>
  </si>
  <si>
    <t>English</t>
  </si>
  <si>
    <t>Math</t>
  </si>
  <si>
    <t>History</t>
  </si>
  <si>
    <t>Science</t>
  </si>
  <si>
    <t>City</t>
  </si>
  <si>
    <t>Alice</t>
  </si>
  <si>
    <t>New York City</t>
  </si>
  <si>
    <t>Bob</t>
  </si>
  <si>
    <t>London</t>
  </si>
  <si>
    <t>Carol</t>
  </si>
  <si>
    <t>Tokyo</t>
  </si>
  <si>
    <t>David</t>
  </si>
  <si>
    <t>Paris</t>
  </si>
  <si>
    <t>Emily</t>
  </si>
  <si>
    <t>Frank</t>
  </si>
  <si>
    <t>Grace</t>
  </si>
  <si>
    <t>Helen</t>
  </si>
  <si>
    <t>Ian</t>
  </si>
  <si>
    <t>Jane</t>
  </si>
  <si>
    <t>Kevin</t>
  </si>
  <si>
    <t>Laura</t>
  </si>
  <si>
    <t>Michael</t>
  </si>
  <si>
    <t>Nancy</t>
  </si>
  <si>
    <t>Olivia</t>
  </si>
  <si>
    <t>Paul</t>
  </si>
  <si>
    <t>Quinn</t>
  </si>
  <si>
    <t>A</t>
  </si>
  <si>
    <t>B</t>
  </si>
  <si>
    <t>C</t>
  </si>
  <si>
    <t>D</t>
  </si>
  <si>
    <t>Mumbai</t>
  </si>
  <si>
    <t>Sydney</t>
  </si>
  <si>
    <t>Beijing</t>
  </si>
  <si>
    <t>Rio de Janeiro</t>
  </si>
  <si>
    <t>Cairo</t>
  </si>
  <si>
    <t>Cape Town</t>
  </si>
  <si>
    <t>Mexico City</t>
  </si>
  <si>
    <t>Rome</t>
  </si>
  <si>
    <t>Istanbul</t>
  </si>
  <si>
    <t>Bangkok</t>
  </si>
  <si>
    <t>Toronto</t>
  </si>
  <si>
    <t>Buenos Aires</t>
  </si>
  <si>
    <t>Moscow</t>
  </si>
  <si>
    <t>City (by XLOOKUP)</t>
  </si>
  <si>
    <t>City (by VLOOKUP)</t>
  </si>
  <si>
    <t>Average</t>
  </si>
  <si>
    <t>Total Marks</t>
  </si>
  <si>
    <t>Gain</t>
  </si>
  <si>
    <t>Percentage</t>
  </si>
  <si>
    <t>Nikita</t>
  </si>
  <si>
    <t>E</t>
  </si>
  <si>
    <t>Japan</t>
  </si>
  <si>
    <t>F</t>
  </si>
  <si>
    <t>Total in English</t>
  </si>
  <si>
    <t xml:space="preserve">Average in English </t>
  </si>
  <si>
    <t>No. of Students</t>
  </si>
  <si>
    <t>AFTER REMOVING DUPLICATES</t>
  </si>
  <si>
    <t>BEFORE REMOVING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</si>
</sst>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0" xfId="0" applyBorder="1"/>
    <xf numFmtId="0" fontId="0" fillId="0" borderId="1" xfId="0" applyBorder="1"/>
    <xf numFmtId="0" fontId="4" fillId="2" borderId="1" xfId="0" applyFont="1" applyFill="1" applyBorder="1" applyAlignment="1">
      <alignment horizontal="left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/>
    <xf numFmtId="2" fontId="0" fillId="0" borderId="1" xfId="0" applyNumberFormat="1" applyBorder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/>
    <xf numFmtId="0" fontId="2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N29"/>
  <sheetViews>
    <sheetView tabSelected="1" zoomScale="89" zoomScaleNormal="100" workbookViewId="0">
      <selection activeCell="L26" sqref="L26"/>
    </sheetView>
  </sheetViews>
  <sheetFormatPr defaultColWidth="12.6640625" defaultRowHeight="15.75" customHeight="1" x14ac:dyDescent="0.25"/>
  <cols>
    <col min="2" max="2" width="16" bestFit="1" customWidth="1"/>
    <col min="3" max="3" width="7.77734375" bestFit="1" customWidth="1"/>
    <col min="4" max="5" width="14.6640625" bestFit="1" customWidth="1"/>
    <col min="6" max="6" width="17" bestFit="1" customWidth="1"/>
    <col min="7" max="8" width="10" bestFit="1" customWidth="1"/>
    <col min="9" max="9" width="13" bestFit="1" customWidth="1"/>
    <col min="10" max="10" width="6.33203125" bestFit="1" customWidth="1"/>
    <col min="11" max="11" width="13.44140625" bestFit="1" customWidth="1"/>
    <col min="12" max="12" width="7.77734375" bestFit="1" customWidth="1"/>
    <col min="13" max="14" width="21.109375" bestFit="1" customWidth="1"/>
  </cols>
  <sheetData>
    <row r="1" spans="2:14" x14ac:dyDescent="0.25">
      <c r="B1" s="2"/>
    </row>
    <row r="3" spans="2:14" s="3" customFormat="1" ht="15.75" customHeight="1" x14ac:dyDescent="0.25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47</v>
      </c>
      <c r="I3" s="8" t="s">
        <v>48</v>
      </c>
      <c r="J3" s="8" t="s">
        <v>49</v>
      </c>
      <c r="K3" s="8" t="s">
        <v>50</v>
      </c>
      <c r="L3" s="8" t="s">
        <v>1</v>
      </c>
      <c r="M3" s="8" t="s">
        <v>46</v>
      </c>
      <c r="N3" s="8" t="s">
        <v>45</v>
      </c>
    </row>
    <row r="4" spans="2:14" ht="15.75" customHeight="1" x14ac:dyDescent="0.25">
      <c r="B4" s="7" t="s">
        <v>7</v>
      </c>
      <c r="C4" s="7" t="s">
        <v>28</v>
      </c>
      <c r="D4" s="7">
        <v>90</v>
      </c>
      <c r="E4" s="7">
        <v>85</v>
      </c>
      <c r="F4" s="7">
        <v>88</v>
      </c>
      <c r="G4" s="7">
        <v>92</v>
      </c>
      <c r="H4" s="10">
        <f>AVERAGE(D4:G4)</f>
        <v>88.75</v>
      </c>
      <c r="I4" s="10">
        <v>400</v>
      </c>
      <c r="J4" s="10">
        <f>SUM(D4:G4)</f>
        <v>355</v>
      </c>
      <c r="K4" s="9">
        <f>J4/I4</f>
        <v>0.88749999999999996</v>
      </c>
      <c r="L4" s="9" t="str">
        <f>IF(K4&gt;33%,"PASS","FAIL")</f>
        <v>PASS</v>
      </c>
      <c r="M4" s="7" t="str">
        <f>VLOOKUP(B4,City!A2:B18,2,0)</f>
        <v>New York City</v>
      </c>
      <c r="N4" s="7" t="str">
        <f>_xlfn.XLOOKUP(B4,City!A:A,City!B:B)</f>
        <v>New York City</v>
      </c>
    </row>
    <row r="5" spans="2:14" ht="15.75" customHeight="1" x14ac:dyDescent="0.25">
      <c r="B5" s="7" t="s">
        <v>9</v>
      </c>
      <c r="C5" s="7" t="s">
        <v>29</v>
      </c>
      <c r="D5" s="7">
        <v>78</v>
      </c>
      <c r="E5" s="7">
        <v>92</v>
      </c>
      <c r="F5" s="7">
        <v>85</v>
      </c>
      <c r="G5" s="7">
        <v>88</v>
      </c>
      <c r="H5" s="10">
        <f t="shared" ref="H5:H21" si="0">AVERAGE(D5:G5)</f>
        <v>85.75</v>
      </c>
      <c r="I5" s="10">
        <v>400</v>
      </c>
      <c r="J5" s="10">
        <f t="shared" ref="J5:J21" si="1">SUM(D5:G5)</f>
        <v>343</v>
      </c>
      <c r="K5" s="9">
        <f t="shared" ref="K5:K21" si="2">J5/I5</f>
        <v>0.85750000000000004</v>
      </c>
      <c r="L5" s="9" t="str">
        <f t="shared" ref="L5:L21" si="3">IF(K5&gt;33%,"PASS","FAIL")</f>
        <v>PASS</v>
      </c>
      <c r="M5" s="7" t="str">
        <f>VLOOKUP(B5,City!A3:B19,2,0)</f>
        <v>London</v>
      </c>
      <c r="N5" s="7" t="str">
        <f>_xlfn.XLOOKUP(B5,City!A:A,City!B:B)</f>
        <v>London</v>
      </c>
    </row>
    <row r="6" spans="2:14" ht="15.75" customHeight="1" x14ac:dyDescent="0.25">
      <c r="B6" s="7" t="s">
        <v>11</v>
      </c>
      <c r="C6" s="7" t="s">
        <v>30</v>
      </c>
      <c r="D6" s="7">
        <v>85</v>
      </c>
      <c r="E6" s="7">
        <v>76</v>
      </c>
      <c r="F6" s="7">
        <v>72</v>
      </c>
      <c r="G6" s="7">
        <v>80</v>
      </c>
      <c r="H6" s="10">
        <f t="shared" si="0"/>
        <v>78.25</v>
      </c>
      <c r="I6" s="10">
        <v>400</v>
      </c>
      <c r="J6" s="10">
        <f t="shared" si="1"/>
        <v>313</v>
      </c>
      <c r="K6" s="9">
        <f t="shared" si="2"/>
        <v>0.78249999999999997</v>
      </c>
      <c r="L6" s="9" t="str">
        <f t="shared" si="3"/>
        <v>PASS</v>
      </c>
      <c r="M6" s="7" t="str">
        <f>VLOOKUP(B6,City!A4:B20,2,0)</f>
        <v>Tokyo</v>
      </c>
      <c r="N6" s="7" t="str">
        <f>_xlfn.XLOOKUP(B6,City!A:A,City!B:B)</f>
        <v>Tokyo</v>
      </c>
    </row>
    <row r="7" spans="2:14" ht="15.75" customHeight="1" x14ac:dyDescent="0.25">
      <c r="B7" s="7" t="s">
        <v>13</v>
      </c>
      <c r="C7" s="7" t="s">
        <v>29</v>
      </c>
      <c r="D7" s="7">
        <v>70</v>
      </c>
      <c r="E7" s="7">
        <v>80</v>
      </c>
      <c r="F7" s="7">
        <v>78</v>
      </c>
      <c r="G7" s="7">
        <v>75</v>
      </c>
      <c r="H7" s="10">
        <f t="shared" si="0"/>
        <v>75.75</v>
      </c>
      <c r="I7" s="10">
        <v>400</v>
      </c>
      <c r="J7" s="10">
        <f t="shared" si="1"/>
        <v>303</v>
      </c>
      <c r="K7" s="9">
        <f t="shared" si="2"/>
        <v>0.75749999999999995</v>
      </c>
      <c r="L7" s="9" t="str">
        <f t="shared" si="3"/>
        <v>PASS</v>
      </c>
      <c r="M7" s="7" t="str">
        <f>VLOOKUP(B7,City!A5:B21,2,0)</f>
        <v>Paris</v>
      </c>
      <c r="N7" s="7" t="str">
        <f>_xlfn.XLOOKUP(B7,City!A:A,City!B:B)</f>
        <v>Paris</v>
      </c>
    </row>
    <row r="8" spans="2:14" ht="15.75" customHeight="1" x14ac:dyDescent="0.25">
      <c r="B8" s="7" t="s">
        <v>15</v>
      </c>
      <c r="C8" s="7" t="s">
        <v>28</v>
      </c>
      <c r="D8" s="7">
        <v>92</v>
      </c>
      <c r="E8" s="7">
        <v>94</v>
      </c>
      <c r="F8" s="7">
        <v>90</v>
      </c>
      <c r="G8" s="7">
        <v>95</v>
      </c>
      <c r="H8" s="10">
        <f t="shared" si="0"/>
        <v>92.75</v>
      </c>
      <c r="I8" s="10">
        <v>400</v>
      </c>
      <c r="J8" s="10">
        <f t="shared" si="1"/>
        <v>371</v>
      </c>
      <c r="K8" s="9">
        <f t="shared" si="2"/>
        <v>0.92749999999999999</v>
      </c>
      <c r="L8" s="9" t="str">
        <f t="shared" si="3"/>
        <v>PASS</v>
      </c>
      <c r="M8" s="7" t="str">
        <f>VLOOKUP(B8,City!A6:B22,2,0)</f>
        <v>Mumbai</v>
      </c>
      <c r="N8" s="7" t="str">
        <f>_xlfn.XLOOKUP(B8,City!A:A,City!B:B)</f>
        <v>Mumbai</v>
      </c>
    </row>
    <row r="9" spans="2:14" ht="15.75" customHeight="1" x14ac:dyDescent="0.25">
      <c r="B9" s="7" t="s">
        <v>16</v>
      </c>
      <c r="C9" s="7" t="s">
        <v>31</v>
      </c>
      <c r="D9" s="7">
        <v>62</v>
      </c>
      <c r="E9" s="7">
        <v>70</v>
      </c>
      <c r="F9" s="7">
        <v>68</v>
      </c>
      <c r="G9" s="7">
        <v>55</v>
      </c>
      <c r="H9" s="10">
        <f t="shared" si="0"/>
        <v>63.75</v>
      </c>
      <c r="I9" s="10">
        <v>400</v>
      </c>
      <c r="J9" s="10">
        <f t="shared" si="1"/>
        <v>255</v>
      </c>
      <c r="K9" s="9">
        <f t="shared" si="2"/>
        <v>0.63749999999999996</v>
      </c>
      <c r="L9" s="9" t="str">
        <f t="shared" si="3"/>
        <v>PASS</v>
      </c>
      <c r="M9" s="7" t="str">
        <f>VLOOKUP(B9,City!A7:B23,2,0)</f>
        <v>Sydney</v>
      </c>
      <c r="N9" s="7" t="str">
        <f>_xlfn.XLOOKUP(B9,City!A:A,City!B:B)</f>
        <v>Sydney</v>
      </c>
    </row>
    <row r="10" spans="2:14" ht="15.75" customHeight="1" x14ac:dyDescent="0.25">
      <c r="B10" s="7" t="s">
        <v>17</v>
      </c>
      <c r="C10" s="7" t="s">
        <v>28</v>
      </c>
      <c r="D10" s="7">
        <v>95</v>
      </c>
      <c r="E10" s="7">
        <v>88</v>
      </c>
      <c r="F10" s="7">
        <v>92</v>
      </c>
      <c r="G10" s="7">
        <v>96</v>
      </c>
      <c r="H10" s="10">
        <f t="shared" si="0"/>
        <v>92.75</v>
      </c>
      <c r="I10" s="10">
        <v>400</v>
      </c>
      <c r="J10" s="10">
        <f t="shared" si="1"/>
        <v>371</v>
      </c>
      <c r="K10" s="9">
        <f t="shared" si="2"/>
        <v>0.92749999999999999</v>
      </c>
      <c r="L10" s="9" t="str">
        <f t="shared" si="3"/>
        <v>PASS</v>
      </c>
      <c r="M10" s="7" t="str">
        <f>VLOOKUP(B10,City!A8:B24,2,0)</f>
        <v>Beijing</v>
      </c>
      <c r="N10" s="7" t="str">
        <f>_xlfn.XLOOKUP(B10,City!A:A,City!B:B)</f>
        <v>Beijing</v>
      </c>
    </row>
    <row r="11" spans="2:14" ht="15.75" customHeight="1" x14ac:dyDescent="0.25">
      <c r="B11" s="7" t="s">
        <v>18</v>
      </c>
      <c r="C11" s="7" t="s">
        <v>30</v>
      </c>
      <c r="D11" s="7">
        <v>75</v>
      </c>
      <c r="E11" s="7">
        <v>72</v>
      </c>
      <c r="F11" s="7">
        <v>70</v>
      </c>
      <c r="G11" s="7">
        <v>68</v>
      </c>
      <c r="H11" s="10">
        <f t="shared" si="0"/>
        <v>71.25</v>
      </c>
      <c r="I11" s="10">
        <v>400</v>
      </c>
      <c r="J11" s="10">
        <f t="shared" si="1"/>
        <v>285</v>
      </c>
      <c r="K11" s="9">
        <f t="shared" si="2"/>
        <v>0.71250000000000002</v>
      </c>
      <c r="L11" s="9" t="str">
        <f t="shared" si="3"/>
        <v>PASS</v>
      </c>
      <c r="M11" s="7" t="str">
        <f>VLOOKUP(B11,City!A9:B25,2,0)</f>
        <v>Rio de Janeiro</v>
      </c>
      <c r="N11" s="7" t="str">
        <f>_xlfn.XLOOKUP(B11,City!A:A,City!B:B)</f>
        <v>Rio de Janeiro</v>
      </c>
    </row>
    <row r="12" spans="2:14" ht="15.75" customHeight="1" x14ac:dyDescent="0.25">
      <c r="B12" s="7" t="s">
        <v>19</v>
      </c>
      <c r="C12" s="7" t="s">
        <v>29</v>
      </c>
      <c r="D12" s="7">
        <v>78</v>
      </c>
      <c r="E12" s="7">
        <v>80</v>
      </c>
      <c r="F12" s="7">
        <v>75</v>
      </c>
      <c r="G12" s="7">
        <v>82</v>
      </c>
      <c r="H12" s="10">
        <f t="shared" si="0"/>
        <v>78.75</v>
      </c>
      <c r="I12" s="10">
        <v>400</v>
      </c>
      <c r="J12" s="10">
        <f t="shared" si="1"/>
        <v>315</v>
      </c>
      <c r="K12" s="9">
        <f t="shared" si="2"/>
        <v>0.78749999999999998</v>
      </c>
      <c r="L12" s="9" t="str">
        <f t="shared" si="3"/>
        <v>PASS</v>
      </c>
      <c r="M12" s="7" t="str">
        <f>VLOOKUP(B12,City!A10:B26,2,0)</f>
        <v>Cairo</v>
      </c>
      <c r="N12" s="7" t="str">
        <f>_xlfn.XLOOKUP(B12,City!A:A,City!B:B)</f>
        <v>Cairo</v>
      </c>
    </row>
    <row r="13" spans="2:14" ht="15.75" customHeight="1" x14ac:dyDescent="0.25">
      <c r="B13" s="7" t="s">
        <v>20</v>
      </c>
      <c r="C13" s="7" t="s">
        <v>28</v>
      </c>
      <c r="D13" s="7">
        <v>88</v>
      </c>
      <c r="E13" s="7">
        <v>90</v>
      </c>
      <c r="F13" s="7">
        <v>92</v>
      </c>
      <c r="G13" s="7">
        <v>86</v>
      </c>
      <c r="H13" s="10">
        <f t="shared" si="0"/>
        <v>89</v>
      </c>
      <c r="I13" s="10">
        <v>400</v>
      </c>
      <c r="J13" s="10">
        <f t="shared" si="1"/>
        <v>356</v>
      </c>
      <c r="K13" s="9">
        <f t="shared" si="2"/>
        <v>0.89</v>
      </c>
      <c r="L13" s="9" t="str">
        <f t="shared" si="3"/>
        <v>PASS</v>
      </c>
      <c r="M13" s="7" t="str">
        <f>VLOOKUP(B13,City!A11:B27,2,0)</f>
        <v>Cape Town</v>
      </c>
      <c r="N13" s="7" t="str">
        <f>_xlfn.XLOOKUP(B13,City!A:A,City!B:B)</f>
        <v>Cape Town</v>
      </c>
    </row>
    <row r="14" spans="2:14" ht="15.75" customHeight="1" x14ac:dyDescent="0.25">
      <c r="B14" s="7" t="s">
        <v>21</v>
      </c>
      <c r="C14" s="7" t="s">
        <v>30</v>
      </c>
      <c r="D14" s="7">
        <v>72</v>
      </c>
      <c r="E14" s="7">
        <v>68</v>
      </c>
      <c r="F14" s="7">
        <v>70</v>
      </c>
      <c r="G14" s="7">
        <v>74</v>
      </c>
      <c r="H14" s="10">
        <f t="shared" si="0"/>
        <v>71</v>
      </c>
      <c r="I14" s="10">
        <v>400</v>
      </c>
      <c r="J14" s="10">
        <f t="shared" si="1"/>
        <v>284</v>
      </c>
      <c r="K14" s="9">
        <f t="shared" si="2"/>
        <v>0.71</v>
      </c>
      <c r="L14" s="9" t="str">
        <f t="shared" si="3"/>
        <v>PASS</v>
      </c>
      <c r="M14" s="7" t="str">
        <f>VLOOKUP(B14,City!A12:B28,2,0)</f>
        <v>Mexico City</v>
      </c>
      <c r="N14" s="7" t="str">
        <f>_xlfn.XLOOKUP(B14,City!A:A,City!B:B)</f>
        <v>Mexico City</v>
      </c>
    </row>
    <row r="15" spans="2:14" ht="15.75" customHeight="1" x14ac:dyDescent="0.25">
      <c r="B15" s="7" t="s">
        <v>22</v>
      </c>
      <c r="C15" s="7" t="s">
        <v>29</v>
      </c>
      <c r="D15" s="7">
        <v>80</v>
      </c>
      <c r="E15" s="7">
        <v>85</v>
      </c>
      <c r="F15" s="7">
        <v>88</v>
      </c>
      <c r="G15" s="7">
        <v>82</v>
      </c>
      <c r="H15" s="10">
        <f t="shared" si="0"/>
        <v>83.75</v>
      </c>
      <c r="I15" s="10">
        <v>400</v>
      </c>
      <c r="J15" s="10">
        <f t="shared" si="1"/>
        <v>335</v>
      </c>
      <c r="K15" s="9">
        <f t="shared" si="2"/>
        <v>0.83750000000000002</v>
      </c>
      <c r="L15" s="9" t="str">
        <f t="shared" si="3"/>
        <v>PASS</v>
      </c>
      <c r="M15" s="7" t="str">
        <f>VLOOKUP(B15,City!A13:B29,2,0)</f>
        <v>Rome</v>
      </c>
      <c r="N15" s="7" t="str">
        <f>_xlfn.XLOOKUP(B15,City!A:A,City!B:B)</f>
        <v>Rome</v>
      </c>
    </row>
    <row r="16" spans="2:14" ht="15.75" customHeight="1" x14ac:dyDescent="0.25">
      <c r="B16" s="7" t="s">
        <v>23</v>
      </c>
      <c r="C16" s="7" t="s">
        <v>28</v>
      </c>
      <c r="D16" s="7">
        <v>92</v>
      </c>
      <c r="E16" s="7">
        <v>94</v>
      </c>
      <c r="F16" s="7">
        <v>90</v>
      </c>
      <c r="G16" s="7">
        <v>95</v>
      </c>
      <c r="H16" s="10">
        <f t="shared" si="0"/>
        <v>92.75</v>
      </c>
      <c r="I16" s="10">
        <v>400</v>
      </c>
      <c r="J16" s="10">
        <f t="shared" si="1"/>
        <v>371</v>
      </c>
      <c r="K16" s="9">
        <f t="shared" si="2"/>
        <v>0.92749999999999999</v>
      </c>
      <c r="L16" s="9" t="str">
        <f t="shared" si="3"/>
        <v>PASS</v>
      </c>
      <c r="M16" s="7" t="str">
        <f>VLOOKUP(B16,City!A14:B30,2,0)</f>
        <v>Istanbul</v>
      </c>
      <c r="N16" s="7" t="str">
        <f>_xlfn.XLOOKUP(B16,City!A:A,City!B:B)</f>
        <v>Istanbul</v>
      </c>
    </row>
    <row r="17" spans="2:14" ht="15.75" customHeight="1" x14ac:dyDescent="0.25">
      <c r="B17" s="7" t="s">
        <v>24</v>
      </c>
      <c r="C17" s="11" t="s">
        <v>52</v>
      </c>
      <c r="D17" s="7">
        <v>44</v>
      </c>
      <c r="E17" s="7">
        <v>33</v>
      </c>
      <c r="F17" s="7">
        <v>22</v>
      </c>
      <c r="G17" s="7">
        <v>22</v>
      </c>
      <c r="H17" s="10">
        <f t="shared" si="0"/>
        <v>30.25</v>
      </c>
      <c r="I17" s="10">
        <v>400</v>
      </c>
      <c r="J17" s="10">
        <f t="shared" si="1"/>
        <v>121</v>
      </c>
      <c r="K17" s="9">
        <f t="shared" si="2"/>
        <v>0.30249999999999999</v>
      </c>
      <c r="L17" s="9" t="str">
        <f t="shared" si="3"/>
        <v>FAIL</v>
      </c>
      <c r="M17" s="7" t="str">
        <f>VLOOKUP(B17,City!A15:B31,2,0)</f>
        <v>Bangkok</v>
      </c>
      <c r="N17" s="7" t="str">
        <f>_xlfn.XLOOKUP(B17,City!A:A,City!B:B)</f>
        <v>Bangkok</v>
      </c>
    </row>
    <row r="18" spans="2:14" ht="15.75" customHeight="1" x14ac:dyDescent="0.25">
      <c r="B18" s="7" t="s">
        <v>25</v>
      </c>
      <c r="C18" s="7" t="s">
        <v>29</v>
      </c>
      <c r="D18" s="7">
        <v>78</v>
      </c>
      <c r="E18" s="7">
        <v>80</v>
      </c>
      <c r="F18" s="7">
        <v>75</v>
      </c>
      <c r="G18" s="7">
        <v>82</v>
      </c>
      <c r="H18" s="10">
        <f t="shared" si="0"/>
        <v>78.75</v>
      </c>
      <c r="I18" s="10">
        <v>400</v>
      </c>
      <c r="J18" s="10">
        <f t="shared" si="1"/>
        <v>315</v>
      </c>
      <c r="K18" s="9">
        <f t="shared" si="2"/>
        <v>0.78749999999999998</v>
      </c>
      <c r="L18" s="9" t="str">
        <f t="shared" si="3"/>
        <v>PASS</v>
      </c>
      <c r="M18" s="7" t="str">
        <f>VLOOKUP(B18,City!A16:B32,2,0)</f>
        <v>Toronto</v>
      </c>
      <c r="N18" s="7" t="str">
        <f>_xlfn.XLOOKUP(B18,City!A:A,City!B:B)</f>
        <v>Toronto</v>
      </c>
    </row>
    <row r="19" spans="2:14" ht="15.75" customHeight="1" x14ac:dyDescent="0.25">
      <c r="B19" s="7" t="s">
        <v>26</v>
      </c>
      <c r="C19" s="7" t="s">
        <v>31</v>
      </c>
      <c r="D19" s="7">
        <v>60</v>
      </c>
      <c r="E19" s="7">
        <v>65</v>
      </c>
      <c r="F19" s="7">
        <v>62</v>
      </c>
      <c r="G19" s="7">
        <v>58</v>
      </c>
      <c r="H19" s="10">
        <f t="shared" si="0"/>
        <v>61.25</v>
      </c>
      <c r="I19" s="10">
        <v>400</v>
      </c>
      <c r="J19" s="10">
        <f t="shared" si="1"/>
        <v>245</v>
      </c>
      <c r="K19" s="9">
        <f t="shared" si="2"/>
        <v>0.61250000000000004</v>
      </c>
      <c r="L19" s="9" t="str">
        <f t="shared" si="3"/>
        <v>PASS</v>
      </c>
      <c r="M19" s="7" t="str">
        <f>VLOOKUP(B19,City!A17:B33,2,0)</f>
        <v>Buenos Aires</v>
      </c>
      <c r="N19" s="7" t="str">
        <f>_xlfn.XLOOKUP(B19,City!A:A,City!B:B)</f>
        <v>Buenos Aires</v>
      </c>
    </row>
    <row r="20" spans="2:14" ht="15.75" customHeight="1" x14ac:dyDescent="0.25">
      <c r="B20" s="11" t="s">
        <v>51</v>
      </c>
      <c r="C20" s="11" t="s">
        <v>54</v>
      </c>
      <c r="D20" s="7">
        <v>33</v>
      </c>
      <c r="E20" s="7">
        <v>31</v>
      </c>
      <c r="F20" s="7">
        <v>28</v>
      </c>
      <c r="G20" s="7">
        <v>24</v>
      </c>
      <c r="H20" s="10">
        <f t="shared" si="0"/>
        <v>29</v>
      </c>
      <c r="I20" s="10">
        <v>400</v>
      </c>
      <c r="J20" s="10">
        <f t="shared" si="1"/>
        <v>116</v>
      </c>
      <c r="K20" s="9">
        <f t="shared" si="2"/>
        <v>0.28999999999999998</v>
      </c>
      <c r="L20" s="9" t="str">
        <f t="shared" si="3"/>
        <v>FAIL</v>
      </c>
      <c r="M20" s="7" t="str">
        <f>VLOOKUP(B20,City!A18:B34,2,0)</f>
        <v>Japan</v>
      </c>
      <c r="N20" s="7" t="str">
        <f>_xlfn.XLOOKUP(B20,City!A:A,City!B:B)</f>
        <v>Japan</v>
      </c>
    </row>
    <row r="21" spans="2:14" ht="15.75" customHeight="1" x14ac:dyDescent="0.25">
      <c r="B21" s="7" t="s">
        <v>27</v>
      </c>
      <c r="C21" s="7" t="s">
        <v>29</v>
      </c>
      <c r="D21" s="7">
        <v>80</v>
      </c>
      <c r="E21" s="7">
        <v>85</v>
      </c>
      <c r="F21" s="7">
        <v>88</v>
      </c>
      <c r="G21" s="7">
        <v>82</v>
      </c>
      <c r="H21" s="10">
        <f t="shared" si="0"/>
        <v>83.75</v>
      </c>
      <c r="I21" s="10">
        <v>400</v>
      </c>
      <c r="J21" s="10">
        <f t="shared" si="1"/>
        <v>335</v>
      </c>
      <c r="K21" s="9">
        <f t="shared" si="2"/>
        <v>0.83750000000000002</v>
      </c>
      <c r="L21" s="9" t="str">
        <f t="shared" si="3"/>
        <v>PASS</v>
      </c>
      <c r="M21" s="7" t="str">
        <f>VLOOKUP(B21,City!A18:B34,2,0)</f>
        <v>Moscow</v>
      </c>
      <c r="N21" s="7" t="str">
        <f>_xlfn.XLOOKUP(B21,City!A:A,City!B:B)</f>
        <v>Moscow</v>
      </c>
    </row>
    <row r="23" spans="2:14" ht="15.75" customHeight="1" x14ac:dyDescent="0.25">
      <c r="C23" s="16" t="s">
        <v>1</v>
      </c>
      <c r="D23" s="16" t="s">
        <v>57</v>
      </c>
      <c r="E23" s="16" t="s">
        <v>55</v>
      </c>
      <c r="F23" s="16" t="s">
        <v>56</v>
      </c>
    </row>
    <row r="24" spans="2:14" ht="15.75" customHeight="1" x14ac:dyDescent="0.25">
      <c r="C24" s="12" t="s">
        <v>28</v>
      </c>
      <c r="D24" s="7">
        <f>COUNTIF(C4:C21,C24)</f>
        <v>5</v>
      </c>
      <c r="E24" s="7">
        <f>SUMIF(C4:C21,C24,D4:D21)</f>
        <v>457</v>
      </c>
      <c r="F24" s="13">
        <f>AVERAGEIF(C4:C21,C24,D4:D21)</f>
        <v>91.4</v>
      </c>
    </row>
    <row r="25" spans="2:14" ht="15.75" customHeight="1" x14ac:dyDescent="0.25">
      <c r="C25" s="12" t="s">
        <v>29</v>
      </c>
      <c r="D25" s="7">
        <f t="shared" ref="D25:D29" si="4">COUNTIF(C5:C22,C25)</f>
        <v>6</v>
      </c>
      <c r="E25" s="7">
        <f t="shared" ref="E25:E29" si="5">SUMIF(C5:C22,C25,D5:D22)</f>
        <v>464</v>
      </c>
      <c r="F25" s="13">
        <f t="shared" ref="F25:F29" si="6">AVERAGEIF(C5:C22,C25,D5:D22)</f>
        <v>77.333333333333329</v>
      </c>
    </row>
    <row r="26" spans="2:14" ht="15.75" customHeight="1" x14ac:dyDescent="0.25">
      <c r="C26" s="12" t="s">
        <v>30</v>
      </c>
      <c r="D26" s="7">
        <f t="shared" si="4"/>
        <v>3</v>
      </c>
      <c r="E26" s="7">
        <f t="shared" si="5"/>
        <v>232</v>
      </c>
      <c r="F26" s="13">
        <f t="shared" si="6"/>
        <v>77.333333333333329</v>
      </c>
    </row>
    <row r="27" spans="2:14" ht="15.75" customHeight="1" x14ac:dyDescent="0.25">
      <c r="C27" s="12" t="s">
        <v>31</v>
      </c>
      <c r="D27" s="7">
        <f t="shared" si="4"/>
        <v>2</v>
      </c>
      <c r="E27" s="7">
        <f t="shared" si="5"/>
        <v>122</v>
      </c>
      <c r="F27" s="13">
        <f t="shared" si="6"/>
        <v>61</v>
      </c>
    </row>
    <row r="28" spans="2:14" ht="15.75" customHeight="1" x14ac:dyDescent="0.25">
      <c r="C28" s="12" t="s">
        <v>52</v>
      </c>
      <c r="D28" s="7">
        <f t="shared" si="4"/>
        <v>1</v>
      </c>
      <c r="E28" s="7">
        <f t="shared" si="5"/>
        <v>44</v>
      </c>
      <c r="F28" s="13">
        <f t="shared" si="6"/>
        <v>44</v>
      </c>
    </row>
    <row r="29" spans="2:14" ht="15.75" customHeight="1" x14ac:dyDescent="0.25">
      <c r="C29" s="12" t="s">
        <v>54</v>
      </c>
      <c r="D29" s="7">
        <f t="shared" si="4"/>
        <v>1</v>
      </c>
      <c r="E29" s="7">
        <f t="shared" si="5"/>
        <v>33</v>
      </c>
      <c r="F29" s="13">
        <f t="shared" si="6"/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3"/>
  <sheetViews>
    <sheetView workbookViewId="0">
      <selection activeCell="A18" sqref="A18"/>
    </sheetView>
  </sheetViews>
  <sheetFormatPr defaultColWidth="12.6640625" defaultRowHeight="15.75" customHeight="1" x14ac:dyDescent="0.25"/>
  <cols>
    <col min="1" max="1" width="13.44140625" bestFit="1" customWidth="1"/>
    <col min="2" max="2" width="15.109375" bestFit="1" customWidth="1"/>
  </cols>
  <sheetData>
    <row r="1" spans="1:5" x14ac:dyDescent="0.25">
      <c r="A1" s="1" t="s">
        <v>0</v>
      </c>
      <c r="B1" s="1" t="s">
        <v>6</v>
      </c>
      <c r="C1" s="5"/>
    </row>
    <row r="2" spans="1:5" x14ac:dyDescent="0.25">
      <c r="A2" s="4" t="s">
        <v>7</v>
      </c>
      <c r="B2" s="4" t="s">
        <v>8</v>
      </c>
      <c r="C2" s="2"/>
    </row>
    <row r="3" spans="1:5" x14ac:dyDescent="0.25">
      <c r="A3" s="17" t="s">
        <v>9</v>
      </c>
      <c r="B3" s="18" t="s">
        <v>10</v>
      </c>
      <c r="C3" s="2"/>
    </row>
    <row r="4" spans="1:5" x14ac:dyDescent="0.25">
      <c r="A4" s="17" t="s">
        <v>11</v>
      </c>
      <c r="B4" s="18" t="s">
        <v>12</v>
      </c>
      <c r="C4" s="2"/>
    </row>
    <row r="5" spans="1:5" x14ac:dyDescent="0.25">
      <c r="A5" s="17" t="s">
        <v>13</v>
      </c>
      <c r="B5" s="18" t="s">
        <v>14</v>
      </c>
      <c r="C5" s="2"/>
    </row>
    <row r="6" spans="1:5" x14ac:dyDescent="0.25">
      <c r="A6" s="17" t="s">
        <v>15</v>
      </c>
      <c r="B6" s="18" t="s">
        <v>32</v>
      </c>
      <c r="E6" s="6"/>
    </row>
    <row r="7" spans="1:5" x14ac:dyDescent="0.25">
      <c r="A7" s="17" t="s">
        <v>16</v>
      </c>
      <c r="B7" s="18" t="s">
        <v>33</v>
      </c>
    </row>
    <row r="8" spans="1:5" x14ac:dyDescent="0.25">
      <c r="A8" s="17" t="s">
        <v>17</v>
      </c>
      <c r="B8" s="18" t="s">
        <v>34</v>
      </c>
    </row>
    <row r="9" spans="1:5" x14ac:dyDescent="0.25">
      <c r="A9" s="17" t="s">
        <v>18</v>
      </c>
      <c r="B9" s="18" t="s">
        <v>35</v>
      </c>
    </row>
    <row r="10" spans="1:5" x14ac:dyDescent="0.25">
      <c r="A10" s="17" t="s">
        <v>19</v>
      </c>
      <c r="B10" s="18" t="s">
        <v>36</v>
      </c>
    </row>
    <row r="11" spans="1:5" x14ac:dyDescent="0.25">
      <c r="A11" s="17" t="s">
        <v>20</v>
      </c>
      <c r="B11" s="18" t="s">
        <v>37</v>
      </c>
    </row>
    <row r="12" spans="1:5" x14ac:dyDescent="0.25">
      <c r="A12" s="17" t="s">
        <v>21</v>
      </c>
      <c r="B12" s="18" t="s">
        <v>38</v>
      </c>
    </row>
    <row r="13" spans="1:5" x14ac:dyDescent="0.25">
      <c r="A13" s="17" t="s">
        <v>22</v>
      </c>
      <c r="B13" s="18" t="s">
        <v>39</v>
      </c>
    </row>
    <row r="14" spans="1:5" x14ac:dyDescent="0.25">
      <c r="A14" s="17" t="s">
        <v>23</v>
      </c>
      <c r="B14" s="18" t="s">
        <v>40</v>
      </c>
    </row>
    <row r="15" spans="1:5" x14ac:dyDescent="0.25">
      <c r="A15" s="17" t="s">
        <v>24</v>
      </c>
      <c r="B15" s="18" t="s">
        <v>41</v>
      </c>
    </row>
    <row r="16" spans="1:5" x14ac:dyDescent="0.25">
      <c r="A16" s="17" t="s">
        <v>25</v>
      </c>
      <c r="B16" s="18" t="s">
        <v>42</v>
      </c>
    </row>
    <row r="17" spans="1:4" x14ac:dyDescent="0.25">
      <c r="A17" s="17" t="s">
        <v>26</v>
      </c>
      <c r="B17" s="18" t="s">
        <v>43</v>
      </c>
    </row>
    <row r="18" spans="1:4" x14ac:dyDescent="0.25">
      <c r="A18" s="19" t="s">
        <v>51</v>
      </c>
      <c r="B18" s="18" t="s">
        <v>53</v>
      </c>
      <c r="D18" s="6"/>
    </row>
    <row r="19" spans="1:4" ht="15.75" customHeight="1" x14ac:dyDescent="0.25">
      <c r="A19" s="2" t="s">
        <v>27</v>
      </c>
      <c r="B19" s="4" t="s">
        <v>44</v>
      </c>
    </row>
    <row r="23" spans="1:4" ht="15.75" customHeight="1" x14ac:dyDescent="0.25">
      <c r="C23" s="6"/>
    </row>
  </sheetData>
  <sortState xmlns:xlrd2="http://schemas.microsoft.com/office/spreadsheetml/2017/richdata2" ref="A3:B18">
    <sortCondition ref="A2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9454-4B27-4241-AC55-8C90B818B5E8}">
  <dimension ref="A1:F47"/>
  <sheetViews>
    <sheetView zoomScale="66" workbookViewId="0">
      <selection activeCell="H18" sqref="H18"/>
    </sheetView>
  </sheetViews>
  <sheetFormatPr defaultRowHeight="13.2" x14ac:dyDescent="0.25"/>
  <cols>
    <col min="1" max="1" width="32.6640625" customWidth="1"/>
    <col min="2" max="2" width="12.88671875" bestFit="1" customWidth="1"/>
    <col min="5" max="5" width="29.21875" bestFit="1" customWidth="1"/>
    <col min="6" max="6" width="12.88671875" bestFit="1" customWidth="1"/>
  </cols>
  <sheetData>
    <row r="1" spans="1:6" x14ac:dyDescent="0.25">
      <c r="A1" s="14" t="s">
        <v>59</v>
      </c>
      <c r="B1" s="14"/>
    </row>
    <row r="2" spans="1:6" x14ac:dyDescent="0.25">
      <c r="A2" s="14"/>
      <c r="B2" s="14"/>
      <c r="E2" s="15" t="s">
        <v>58</v>
      </c>
      <c r="F2" s="15"/>
    </row>
    <row r="3" spans="1:6" x14ac:dyDescent="0.25">
      <c r="A3" s="1" t="s">
        <v>0</v>
      </c>
      <c r="B3" s="1" t="s">
        <v>6</v>
      </c>
      <c r="E3" s="15"/>
      <c r="F3" s="15"/>
    </row>
    <row r="4" spans="1:6" x14ac:dyDescent="0.25">
      <c r="A4" s="4" t="s">
        <v>7</v>
      </c>
      <c r="B4" s="4" t="s">
        <v>8</v>
      </c>
      <c r="E4" s="1" t="s">
        <v>0</v>
      </c>
      <c r="F4" s="1" t="s">
        <v>6</v>
      </c>
    </row>
    <row r="5" spans="1:6" x14ac:dyDescent="0.25">
      <c r="A5" s="2" t="s">
        <v>9</v>
      </c>
      <c r="B5" s="4" t="s">
        <v>10</v>
      </c>
      <c r="E5" s="4" t="s">
        <v>7</v>
      </c>
      <c r="F5" s="4" t="s">
        <v>8</v>
      </c>
    </row>
    <row r="6" spans="1:6" x14ac:dyDescent="0.25">
      <c r="A6" s="2" t="s">
        <v>11</v>
      </c>
      <c r="B6" s="4" t="s">
        <v>12</v>
      </c>
      <c r="E6" s="2" t="s">
        <v>9</v>
      </c>
      <c r="F6" s="4" t="s">
        <v>10</v>
      </c>
    </row>
    <row r="7" spans="1:6" x14ac:dyDescent="0.25">
      <c r="A7" s="2" t="s">
        <v>13</v>
      </c>
      <c r="B7" s="4" t="s">
        <v>14</v>
      </c>
      <c r="E7" s="2" t="s">
        <v>11</v>
      </c>
      <c r="F7" s="4" t="s">
        <v>12</v>
      </c>
    </row>
    <row r="8" spans="1:6" x14ac:dyDescent="0.25">
      <c r="A8" s="2" t="s">
        <v>15</v>
      </c>
      <c r="B8" s="4" t="s">
        <v>32</v>
      </c>
      <c r="E8" s="2" t="s">
        <v>13</v>
      </c>
      <c r="F8" s="4" t="s">
        <v>14</v>
      </c>
    </row>
    <row r="9" spans="1:6" x14ac:dyDescent="0.25">
      <c r="A9" s="2" t="s">
        <v>16</v>
      </c>
      <c r="B9" s="4" t="s">
        <v>33</v>
      </c>
      <c r="E9" s="2" t="s">
        <v>15</v>
      </c>
      <c r="F9" s="4" t="s">
        <v>32</v>
      </c>
    </row>
    <row r="10" spans="1:6" x14ac:dyDescent="0.25">
      <c r="A10" s="2" t="s">
        <v>17</v>
      </c>
      <c r="B10" s="4" t="s">
        <v>34</v>
      </c>
      <c r="E10" s="2" t="s">
        <v>16</v>
      </c>
      <c r="F10" s="4" t="s">
        <v>33</v>
      </c>
    </row>
    <row r="11" spans="1:6" x14ac:dyDescent="0.25">
      <c r="A11" s="2" t="s">
        <v>18</v>
      </c>
      <c r="B11" s="4" t="s">
        <v>35</v>
      </c>
      <c r="E11" s="2" t="s">
        <v>17</v>
      </c>
      <c r="F11" s="4" t="s">
        <v>34</v>
      </c>
    </row>
    <row r="12" spans="1:6" x14ac:dyDescent="0.25">
      <c r="A12" s="2" t="s">
        <v>19</v>
      </c>
      <c r="B12" s="4" t="s">
        <v>36</v>
      </c>
      <c r="E12" s="2" t="s">
        <v>18</v>
      </c>
      <c r="F12" s="4" t="s">
        <v>35</v>
      </c>
    </row>
    <row r="13" spans="1:6" x14ac:dyDescent="0.25">
      <c r="A13" s="2" t="s">
        <v>20</v>
      </c>
      <c r="B13" s="4" t="s">
        <v>37</v>
      </c>
      <c r="E13" s="2" t="s">
        <v>19</v>
      </c>
      <c r="F13" s="4" t="s">
        <v>36</v>
      </c>
    </row>
    <row r="14" spans="1:6" x14ac:dyDescent="0.25">
      <c r="A14" s="2" t="s">
        <v>21</v>
      </c>
      <c r="B14" s="4" t="s">
        <v>38</v>
      </c>
      <c r="E14" s="2" t="s">
        <v>20</v>
      </c>
      <c r="F14" s="4" t="s">
        <v>37</v>
      </c>
    </row>
    <row r="15" spans="1:6" x14ac:dyDescent="0.25">
      <c r="A15" s="2" t="s">
        <v>22</v>
      </c>
      <c r="B15" s="4" t="s">
        <v>39</v>
      </c>
      <c r="E15" s="2" t="s">
        <v>21</v>
      </c>
      <c r="F15" s="4" t="s">
        <v>38</v>
      </c>
    </row>
    <row r="16" spans="1:6" x14ac:dyDescent="0.25">
      <c r="A16" s="2" t="s">
        <v>23</v>
      </c>
      <c r="B16" s="4" t="s">
        <v>40</v>
      </c>
      <c r="E16" s="2" t="s">
        <v>22</v>
      </c>
      <c r="F16" s="4" t="s">
        <v>39</v>
      </c>
    </row>
    <row r="17" spans="1:6" x14ac:dyDescent="0.25">
      <c r="A17" s="2" t="s">
        <v>24</v>
      </c>
      <c r="B17" s="4" t="s">
        <v>41</v>
      </c>
      <c r="E17" s="2" t="s">
        <v>23</v>
      </c>
      <c r="F17" s="4" t="s">
        <v>40</v>
      </c>
    </row>
    <row r="18" spans="1:6" x14ac:dyDescent="0.25">
      <c r="A18" s="2" t="s">
        <v>25</v>
      </c>
      <c r="B18" s="4" t="s">
        <v>42</v>
      </c>
      <c r="E18" s="2" t="s">
        <v>24</v>
      </c>
      <c r="F18" s="4" t="s">
        <v>41</v>
      </c>
    </row>
    <row r="19" spans="1:6" x14ac:dyDescent="0.25">
      <c r="A19" s="2" t="s">
        <v>26</v>
      </c>
      <c r="B19" s="4" t="s">
        <v>43</v>
      </c>
      <c r="E19" s="2" t="s">
        <v>25</v>
      </c>
      <c r="F19" s="4" t="s">
        <v>42</v>
      </c>
    </row>
    <row r="20" spans="1:6" x14ac:dyDescent="0.25">
      <c r="A20" s="11" t="s">
        <v>51</v>
      </c>
      <c r="B20" s="4" t="s">
        <v>53</v>
      </c>
      <c r="E20" s="2" t="s">
        <v>26</v>
      </c>
      <c r="F20" s="4" t="s">
        <v>43</v>
      </c>
    </row>
    <row r="21" spans="1:6" x14ac:dyDescent="0.25">
      <c r="A21" s="2" t="s">
        <v>27</v>
      </c>
      <c r="B21" s="4" t="s">
        <v>44</v>
      </c>
      <c r="E21" s="11" t="s">
        <v>51</v>
      </c>
      <c r="F21" s="4" t="s">
        <v>53</v>
      </c>
    </row>
    <row r="22" spans="1:6" x14ac:dyDescent="0.25">
      <c r="A22" s="4" t="s">
        <v>7</v>
      </c>
      <c r="B22" s="4" t="s">
        <v>8</v>
      </c>
      <c r="E22" s="2" t="s">
        <v>27</v>
      </c>
      <c r="F22" s="4" t="s">
        <v>44</v>
      </c>
    </row>
    <row r="23" spans="1:6" x14ac:dyDescent="0.25">
      <c r="A23" s="2" t="s">
        <v>9</v>
      </c>
      <c r="B23" s="4" t="s">
        <v>10</v>
      </c>
    </row>
    <row r="24" spans="1:6" x14ac:dyDescent="0.25">
      <c r="A24" s="2" t="s">
        <v>11</v>
      </c>
      <c r="B24" s="4" t="s">
        <v>12</v>
      </c>
    </row>
    <row r="25" spans="1:6" x14ac:dyDescent="0.25">
      <c r="A25" s="2" t="s">
        <v>13</v>
      </c>
      <c r="B25" s="4" t="s">
        <v>14</v>
      </c>
    </row>
    <row r="26" spans="1:6" x14ac:dyDescent="0.25">
      <c r="A26" s="2" t="s">
        <v>15</v>
      </c>
      <c r="B26" s="4" t="s">
        <v>32</v>
      </c>
    </row>
    <row r="27" spans="1:6" x14ac:dyDescent="0.25">
      <c r="A27" s="2" t="s">
        <v>16</v>
      </c>
      <c r="B27" s="4" t="s">
        <v>33</v>
      </c>
    </row>
    <row r="28" spans="1:6" x14ac:dyDescent="0.25">
      <c r="A28" s="2" t="s">
        <v>17</v>
      </c>
      <c r="B28" s="4" t="s">
        <v>34</v>
      </c>
    </row>
    <row r="29" spans="1:6" x14ac:dyDescent="0.25">
      <c r="A29" s="2" t="s">
        <v>18</v>
      </c>
      <c r="B29" s="4" t="s">
        <v>35</v>
      </c>
    </row>
    <row r="30" spans="1:6" x14ac:dyDescent="0.25">
      <c r="A30" s="2" t="s">
        <v>19</v>
      </c>
      <c r="B30" s="4" t="s">
        <v>36</v>
      </c>
    </row>
    <row r="31" spans="1:6" x14ac:dyDescent="0.25">
      <c r="A31" s="2" t="s">
        <v>20</v>
      </c>
      <c r="B31" s="4" t="s">
        <v>37</v>
      </c>
    </row>
    <row r="32" spans="1:6" x14ac:dyDescent="0.25">
      <c r="A32" s="2" t="s">
        <v>21</v>
      </c>
      <c r="B32" s="4" t="s">
        <v>38</v>
      </c>
    </row>
    <row r="33" spans="1:2" x14ac:dyDescent="0.25">
      <c r="A33" s="2" t="s">
        <v>22</v>
      </c>
      <c r="B33" s="4" t="s">
        <v>39</v>
      </c>
    </row>
    <row r="34" spans="1:2" x14ac:dyDescent="0.25">
      <c r="A34" s="2" t="s">
        <v>23</v>
      </c>
      <c r="B34" s="4" t="s">
        <v>40</v>
      </c>
    </row>
    <row r="35" spans="1:2" x14ac:dyDescent="0.25">
      <c r="A35" s="2" t="s">
        <v>24</v>
      </c>
      <c r="B35" s="4" t="s">
        <v>41</v>
      </c>
    </row>
    <row r="36" spans="1:2" x14ac:dyDescent="0.25">
      <c r="A36" s="2" t="s">
        <v>25</v>
      </c>
      <c r="B36" s="4" t="s">
        <v>42</v>
      </c>
    </row>
    <row r="37" spans="1:2" x14ac:dyDescent="0.25">
      <c r="A37" s="2" t="s">
        <v>26</v>
      </c>
      <c r="B37" s="4" t="s">
        <v>43</v>
      </c>
    </row>
    <row r="38" spans="1:2" x14ac:dyDescent="0.25">
      <c r="A38" s="11" t="s">
        <v>51</v>
      </c>
      <c r="B38" s="4" t="s">
        <v>53</v>
      </c>
    </row>
    <row r="39" spans="1:2" x14ac:dyDescent="0.25">
      <c r="A39" s="2" t="s">
        <v>27</v>
      </c>
      <c r="B39" s="4" t="s">
        <v>44</v>
      </c>
    </row>
    <row r="40" spans="1:2" x14ac:dyDescent="0.25">
      <c r="A40" s="2" t="s">
        <v>21</v>
      </c>
      <c r="B40" s="4" t="s">
        <v>38</v>
      </c>
    </row>
    <row r="41" spans="1:2" x14ac:dyDescent="0.25">
      <c r="A41" s="2" t="s">
        <v>22</v>
      </c>
      <c r="B41" s="4" t="s">
        <v>39</v>
      </c>
    </row>
    <row r="42" spans="1:2" x14ac:dyDescent="0.25">
      <c r="A42" s="2" t="s">
        <v>23</v>
      </c>
      <c r="B42" s="4" t="s">
        <v>40</v>
      </c>
    </row>
    <row r="43" spans="1:2" x14ac:dyDescent="0.25">
      <c r="A43" s="2" t="s">
        <v>24</v>
      </c>
      <c r="B43" s="4" t="s">
        <v>41</v>
      </c>
    </row>
    <row r="44" spans="1:2" x14ac:dyDescent="0.25">
      <c r="A44" s="2" t="s">
        <v>25</v>
      </c>
      <c r="B44" s="4" t="s">
        <v>42</v>
      </c>
    </row>
    <row r="45" spans="1:2" x14ac:dyDescent="0.25">
      <c r="A45" s="2" t="s">
        <v>26</v>
      </c>
      <c r="B45" s="4" t="s">
        <v>43</v>
      </c>
    </row>
    <row r="46" spans="1:2" x14ac:dyDescent="0.25">
      <c r="A46" s="11" t="s">
        <v>51</v>
      </c>
      <c r="B46" s="4" t="s">
        <v>53</v>
      </c>
    </row>
    <row r="47" spans="1:2" x14ac:dyDescent="0.25">
      <c r="A47" s="2" t="s">
        <v>27</v>
      </c>
      <c r="B47" s="4" t="s">
        <v>44</v>
      </c>
    </row>
  </sheetData>
  <mergeCells count="2">
    <mergeCell ref="A1:B2"/>
    <mergeCell ref="E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Name</vt:lpstr>
      <vt:lpstr>City</vt:lpstr>
      <vt:lpstr>Remove 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Singh</cp:lastModifiedBy>
  <dcterms:modified xsi:type="dcterms:W3CDTF">2026-04-27T10:09:41Z</dcterms:modified>
</cp:coreProperties>
</file>